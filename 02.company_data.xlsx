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y!\OneDrive\Desktop\Data_cleaning_Using_Excel\"/>
    </mc:Choice>
  </mc:AlternateContent>
  <xr:revisionPtr revIDLastSave="0" documentId="13_ncr:1_{97CF48C5-2847-4A6E-80D0-391BC765EC35}" xr6:coauthVersionLast="47" xr6:coauthVersionMax="47" xr10:uidLastSave="{00000000-0000-0000-0000-000000000000}"/>
  <bookViews>
    <workbookView xWindow="-110" yWindow="-110" windowWidth="19420" windowHeight="10300" xr2:uid="{D330D072-E3E4-4DC1-B84D-61912778608A}"/>
  </bookViews>
  <sheets>
    <sheet name="cleaned_dataset" sheetId="3" r:id="rId1"/>
    <sheet name="uncleaned_dataset" sheetId="2" r:id="rId2"/>
    <sheet name="Sheet1" sheetId="1" r:id="rId3"/>
  </sheets>
  <definedNames>
    <definedName name="ExternalData_1" localSheetId="1" hidden="1">uncleaned_dataset!$A$1:$H$41</definedName>
    <definedName name="ExternalData_2" localSheetId="0" hidden="1">'cleaned_dataset'!$A$1:$I$32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4D0C006-22BA-4E7C-8F96-1A6748B8DD62}" keepAlive="1" name="Query - cleaned_dataset" description="Connection to the 'cleaned_dataset' query in the workbook." type="5" refreshedVersion="8" background="1" saveData="1">
    <dbPr connection="Provider=Microsoft.Mashup.OleDb.1;Data Source=$Workbook$;Location=cleaned_dataset;Extended Properties=&quot;&quot;" command="SELECT * FROM [cleaned_dataset]"/>
  </connection>
  <connection id="2" xr16:uid="{008A2A8E-2B1E-4363-BE9D-1E913792D42B}" keepAlive="1" name="Query - uncleaned_dataset" description="Connection to the 'uncleaned_dataset' query in the workbook." type="5" refreshedVersion="8" background="1" saveData="1">
    <dbPr connection="Provider=Microsoft.Mashup.OleDb.1;Data Source=$Workbook$;Location=uncleaned_dataset;Extended Properties=&quot;&quot;" command="SELECT * FROM [uncleaned_dataset]"/>
  </connection>
</connections>
</file>

<file path=xl/sharedStrings.xml><?xml version="1.0" encoding="utf-8"?>
<sst xmlns="http://schemas.openxmlformats.org/spreadsheetml/2006/main" count="292" uniqueCount="132">
  <si>
    <t>Date</t>
  </si>
  <si>
    <t>Client</t>
  </si>
  <si>
    <t>Contact</t>
  </si>
  <si>
    <t>Department</t>
  </si>
  <si>
    <t>Payment</t>
  </si>
  <si>
    <t>Revenue</t>
  </si>
  <si>
    <t>Profit</t>
  </si>
  <si>
    <t>Profit Margin</t>
  </si>
  <si>
    <t>AMAZON.COM, INC. (XNAS:AMZN)</t>
  </si>
  <si>
    <t xml:space="preserve">     Bill SmITH</t>
  </si>
  <si>
    <t>Cloud Tech_Texas</t>
  </si>
  <si>
    <t>Transfer</t>
  </si>
  <si>
    <t>TESLA, INC. (XNAS:TSLA)</t>
  </si>
  <si>
    <t>KEN Singh</t>
  </si>
  <si>
    <t>Strategy_New York</t>
  </si>
  <si>
    <t>PayPal</t>
  </si>
  <si>
    <t>NETFLIX, INC. (XNAS:NFLX)</t>
  </si>
  <si>
    <t xml:space="preserve">  Harley        Fritz</t>
  </si>
  <si>
    <t>THE PROCTER &amp; GAMBLE COMPANY (XNYS:PG)</t>
  </si>
  <si>
    <t>Nyla Novak</t>
  </si>
  <si>
    <t>Operations_Florida</t>
  </si>
  <si>
    <t>THE GOLDMAN SACHS GROUP, INC. (XNYS:GS)</t>
  </si>
  <si>
    <t>David    Rasmussen</t>
  </si>
  <si>
    <t>Check</t>
  </si>
  <si>
    <t>JPMORGAN CHASE &amp; CO. (XNYS:JPM)</t>
  </si>
  <si>
    <t>IVAN HINEY</t>
  </si>
  <si>
    <t>MORGAN STANLEY (XNYS:MS)</t>
  </si>
  <si>
    <t>JONha Ma</t>
  </si>
  <si>
    <t>CITIGROUP INC. (XNYS:C)</t>
  </si>
  <si>
    <t xml:space="preserve">     Jordan Boone</t>
  </si>
  <si>
    <t>BANK OF AMERICA CORPORATION (XNYS:BAC)</t>
  </si>
  <si>
    <t>Kylee Townsend</t>
  </si>
  <si>
    <t>Card</t>
  </si>
  <si>
    <t>WALMART INC. (XNYS:WMT)</t>
  </si>
  <si>
    <t>Nora Rollins</t>
  </si>
  <si>
    <t>TARGET CORPORATION (XNYS:TGT)</t>
  </si>
  <si>
    <t>BRENDAN Wallace</t>
  </si>
  <si>
    <t>COSTCO WHOLESALE CORPORATION (XNAS:COST)</t>
  </si>
  <si>
    <t xml:space="preserve">     Conor Wise</t>
  </si>
  <si>
    <t>MCDONALD'S CORPORATION (XNYS:MCD)</t>
  </si>
  <si>
    <t>Steven     MIChael</t>
  </si>
  <si>
    <t>Big Data_California</t>
  </si>
  <si>
    <t>EXXON MOBIL CORPORATION (XNYS:XOM)</t>
  </si>
  <si>
    <t>Lucia Mckay</t>
  </si>
  <si>
    <t>VERIZON COMMUNICATIONS INC. (XNYS:VZ)</t>
  </si>
  <si>
    <t>JoSE   Roach</t>
  </si>
  <si>
    <t>THE HOME DEPOT, INC. (XNYS:HD)</t>
  </si>
  <si>
    <t>Franklin WRIGT</t>
  </si>
  <si>
    <t>CISCO SYSTEMS, INC. (XNAS:CSCO)</t>
  </si>
  <si>
    <t xml:space="preserve">   Alia       Thornton</t>
  </si>
  <si>
    <t>CHEVRON CORPORATION (XNYS:CVX)</t>
  </si>
  <si>
    <t>Denzel        Flores</t>
  </si>
  <si>
    <t>AT&amp;T INC. (XNYS:T)</t>
  </si>
  <si>
    <t>Bruno CordOVA</t>
  </si>
  <si>
    <t>INTEL CORPORATION (XNAS:INTC)</t>
  </si>
  <si>
    <t>jaylynn   napp</t>
  </si>
  <si>
    <t>GENERAL MOTORS COMPANY (XNYS:GM)</t>
  </si>
  <si>
    <t>Bruce RICH</t>
  </si>
  <si>
    <t>MICROSOFT CORPORATION (XNAS:MSFT)</t>
  </si>
  <si>
    <t xml:space="preserve">     Arturo Moore</t>
  </si>
  <si>
    <t>COMCAST CORPORATION (XNAS:CMCSA)</t>
  </si>
  <si>
    <t>Bryce     Carpenter</t>
  </si>
  <si>
    <t>DELL TECHNOLOGIES INC. (XNYS:DELL)</t>
  </si>
  <si>
    <t>Jaidyn ANDERSEN</t>
  </si>
  <si>
    <t>JOHNSON &amp; JOHNSON (XNYS:JNJ)</t>
  </si>
  <si>
    <t>MARK WALM</t>
  </si>
  <si>
    <t>FEDEX CORPORATION (XNYS:FDX)</t>
  </si>
  <si>
    <t>HARRY LEE</t>
  </si>
  <si>
    <t>GENERAL ELECTRIC COMPANY (XNYS:GE)</t>
  </si>
  <si>
    <t>JOSH JOHNSON</t>
  </si>
  <si>
    <t>LOCKHEED MARTIN CORPORATION (XNYS:LMT)</t>
  </si>
  <si>
    <t>Mik Naam</t>
  </si>
  <si>
    <t>Client.1</t>
  </si>
  <si>
    <t>region</t>
  </si>
  <si>
    <t xml:space="preserve">amazon.com, inc. </t>
  </si>
  <si>
    <t>Bill Smith</t>
  </si>
  <si>
    <t>Cloud Tech</t>
  </si>
  <si>
    <t>Texas</t>
  </si>
  <si>
    <t xml:space="preserve">tesla, inc. </t>
  </si>
  <si>
    <t>Ken Singh</t>
  </si>
  <si>
    <t>Strategy</t>
  </si>
  <si>
    <t>New York</t>
  </si>
  <si>
    <t xml:space="preserve">netflix, inc. </t>
  </si>
  <si>
    <t>Harley        Fritz</t>
  </si>
  <si>
    <t xml:space="preserve">the procter &amp; gamble company </t>
  </si>
  <si>
    <t>Operations</t>
  </si>
  <si>
    <t>Florida</t>
  </si>
  <si>
    <t xml:space="preserve">the goldman sachs group, inc. </t>
  </si>
  <si>
    <t xml:space="preserve">jpmorgan chase &amp; co. </t>
  </si>
  <si>
    <t>Ivan Hiney</t>
  </si>
  <si>
    <t xml:space="preserve">morgan stanley </t>
  </si>
  <si>
    <t>Jonha Ma</t>
  </si>
  <si>
    <t xml:space="preserve">citigroup inc. </t>
  </si>
  <si>
    <t>Jordan Boone</t>
  </si>
  <si>
    <t xml:space="preserve">bank of america corporation </t>
  </si>
  <si>
    <t xml:space="preserve">walmart inc. </t>
  </si>
  <si>
    <t xml:space="preserve">target corporation </t>
  </si>
  <si>
    <t>Brendan Wallace</t>
  </si>
  <si>
    <t xml:space="preserve">costco wholesale corporation </t>
  </si>
  <si>
    <t>Conor Wise</t>
  </si>
  <si>
    <t>Steven     Michael</t>
  </si>
  <si>
    <t>Big Data</t>
  </si>
  <si>
    <t>California</t>
  </si>
  <si>
    <t xml:space="preserve">exxon mobil corporation </t>
  </si>
  <si>
    <t xml:space="preserve">verizon communications inc. </t>
  </si>
  <si>
    <t>Jose   Roach</t>
  </si>
  <si>
    <t xml:space="preserve">the home depot, inc. </t>
  </si>
  <si>
    <t>Franklin Wrigt</t>
  </si>
  <si>
    <t xml:space="preserve">cisco systems, inc. </t>
  </si>
  <si>
    <t>Alia       Thornton</t>
  </si>
  <si>
    <t xml:space="preserve">chevron corporation </t>
  </si>
  <si>
    <t xml:space="preserve">at&amp;t inc. </t>
  </si>
  <si>
    <t>Bruno Cordova</t>
  </si>
  <si>
    <t xml:space="preserve">intel corporation </t>
  </si>
  <si>
    <t xml:space="preserve">general motors company </t>
  </si>
  <si>
    <t>Bruce Rich</t>
  </si>
  <si>
    <t xml:space="preserve">microsoft corporation </t>
  </si>
  <si>
    <t>Arturo Moore</t>
  </si>
  <si>
    <t xml:space="preserve">comcast corporation </t>
  </si>
  <si>
    <t xml:space="preserve">dell technologies inc. </t>
  </si>
  <si>
    <t>Jaidyn Andersen</t>
  </si>
  <si>
    <t xml:space="preserve">johnson &amp; johnson </t>
  </si>
  <si>
    <t>Mark Walm</t>
  </si>
  <si>
    <t xml:space="preserve">fedex corporation </t>
  </si>
  <si>
    <t>Harry Lee</t>
  </si>
  <si>
    <t xml:space="preserve">general electric company </t>
  </si>
  <si>
    <t>Josh Johnson</t>
  </si>
  <si>
    <t xml:space="preserve">lockheed martin corporation </t>
  </si>
  <si>
    <t xml:space="preserve">mcdo0ld's corporation </t>
  </si>
  <si>
    <t>Jaylynn   0pp</t>
  </si>
  <si>
    <t>Mik 0am</t>
  </si>
  <si>
    <t>Profit_Margin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</si>
</sst>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-[$$-409]* #,##0.00_ ;_-[$$-409]* \-#,##0.00\ ;_-[$$-409]* &quot;-&quot;??_ ;_-@_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9" fontId="0" fillId="0" borderId="0" xfId="2" applyFont="1"/>
    <xf numFmtId="43" fontId="0" fillId="0" borderId="0" xfId="1" applyFont="1"/>
    <xf numFmtId="164" fontId="0" fillId="0" borderId="0" xfId="0" applyNumberFormat="1"/>
    <xf numFmtId="0" fontId="0" fillId="0" borderId="0" xfId="2" applyNumberFormat="1" applyFont="1"/>
  </cellXfs>
  <cellStyles count="3">
    <cellStyle name="Comma" xfId="1" builtinId="3"/>
    <cellStyle name="Normal" xfId="0" builtinId="0"/>
    <cellStyle name="Percent" xfId="2" builtinId="5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0EBA8232-C2A1-471F-AA59-849608EF07C4}" autoFormatId="16" applyNumberFormats="0" applyBorderFormats="0" applyFontFormats="0" applyPatternFormats="0" applyAlignmentFormats="0" applyWidthHeightFormats="0">
  <queryTableRefresh nextId="16">
    <queryTableFields count="9">
      <queryTableField id="1" name="Date" tableColumnId="1"/>
      <queryTableField id="10" name="Client.1" tableColumnId="10"/>
      <queryTableField id="3" name="Contact" tableColumnId="3"/>
      <queryTableField id="4" name="Department" tableColumnId="4"/>
      <queryTableField id="11" name="region" tableColumnId="11"/>
      <queryTableField id="5" name="Payment" tableColumnId="5"/>
      <queryTableField id="6" name="Revenue" tableColumnId="6"/>
      <queryTableField id="7" name="Profit" tableColumnId="7"/>
      <queryTableField id="15" name="Profit_cleaened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D77C8163-ADD9-4E85-B897-452DDD3E62A8}" autoFormatId="16" applyNumberFormats="0" applyBorderFormats="0" applyFontFormats="0" applyPatternFormats="0" applyAlignmentFormats="0" applyWidthHeightFormats="0">
  <queryTableRefresh nextId="9">
    <queryTableFields count="8">
      <queryTableField id="1" name="Date" tableColumnId="1"/>
      <queryTableField id="2" name="Client" tableColumnId="2"/>
      <queryTableField id="3" name="Contact" tableColumnId="3"/>
      <queryTableField id="4" name="Department" tableColumnId="4"/>
      <queryTableField id="5" name="Payment" tableColumnId="5"/>
      <queryTableField id="6" name="Revenue" tableColumnId="6"/>
      <queryTableField id="7" name="Profit" tableColumnId="7"/>
      <queryTableField id="8" name="Profit Margin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491BC7-F642-4C7C-B47C-DDF06BE8F39C}" name="cleaned_dataset" displayName="cleaned_dataset" ref="A1:I32" tableType="queryTable" totalsRowShown="0">
  <autoFilter ref="A1:I32" xr:uid="{8F491BC7-F642-4C7C-B47C-DDF06BE8F39C}"/>
  <tableColumns count="9">
    <tableColumn id="1" xr3:uid="{44910AAE-A25B-42BD-BC5D-51FEF847647D}" uniqueName="1" name="Date" queryTableFieldId="1" dataDxfId="12"/>
    <tableColumn id="10" xr3:uid="{B51DD2E1-E198-4B85-A775-D62D9BE3E8F8}" uniqueName="10" name="Client.1" queryTableFieldId="10" dataDxfId="11"/>
    <tableColumn id="3" xr3:uid="{58616499-F060-41B5-8F90-24008D89153A}" uniqueName="3" name="Contact" queryTableFieldId="3" dataDxfId="10"/>
    <tableColumn id="4" xr3:uid="{8DBF5730-BBC7-41C1-898F-46C09E2E6DEF}" uniqueName="4" name="Department" queryTableFieldId="4" dataDxfId="9"/>
    <tableColumn id="11" xr3:uid="{BD299049-63E1-46C2-91CA-5D4DBF8090F7}" uniqueName="11" name="region" queryTableFieldId="11" dataDxfId="8"/>
    <tableColumn id="5" xr3:uid="{9171F393-F34F-4DCD-B87C-620B2B65ED73}" uniqueName="5" name="Payment" queryTableFieldId="5" dataDxfId="7"/>
    <tableColumn id="6" xr3:uid="{06EB784C-63BC-4773-BC03-4A44F9718254}" uniqueName="6" name="Revenue" queryTableFieldId="6" dataDxfId="6"/>
    <tableColumn id="7" xr3:uid="{225AE735-2DA3-4A60-97FA-769168453778}" uniqueName="7" name="Profit" queryTableFieldId="7" dataDxfId="5"/>
    <tableColumn id="13" xr3:uid="{BBE848B7-8E19-4571-87D0-A2074D77BE66}" uniqueName="13" name="Profit_Margin" queryTableFieldId="15" dataCellStyle="Comma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82C686-FFC9-4647-98EA-BC6EB46B1496}" name="uncleaned_dataset" displayName="uncleaned_dataset" ref="A1:H41" tableType="queryTable" totalsRowShown="0">
  <autoFilter ref="A1:H41" xr:uid="{4B82C686-FFC9-4647-98EA-BC6EB46B1496}"/>
  <tableColumns count="8">
    <tableColumn id="1" xr3:uid="{939C026A-A066-4128-85F7-60DFB303BC9C}" uniqueName="1" name="Date" queryTableFieldId="1" dataDxfId="4"/>
    <tableColumn id="2" xr3:uid="{B9B2262C-9C3C-450A-80BC-0CE5069A2BCF}" uniqueName="2" name="Client" queryTableFieldId="2" dataDxfId="3"/>
    <tableColumn id="3" xr3:uid="{34874784-16F8-4104-AAA7-791520A24C65}" uniqueName="3" name="Contact" queryTableFieldId="3" dataDxfId="2"/>
    <tableColumn id="4" xr3:uid="{6781A93D-E137-42F1-8561-92167FF2786F}" uniqueName="4" name="Department" queryTableFieldId="4" dataDxfId="1"/>
    <tableColumn id="5" xr3:uid="{76CB994F-02DD-40B9-BD52-B3A2A3831A56}" uniqueName="5" name="Payment" queryTableFieldId="5" dataDxfId="0"/>
    <tableColumn id="6" xr3:uid="{C032D50C-2451-4285-A2B0-E942CA0C9A13}" uniqueName="6" name="Revenue" queryTableFieldId="6"/>
    <tableColumn id="7" xr3:uid="{354F88E8-1303-41BE-807D-D69CFC2C5E5D}" uniqueName="7" name="Profit" queryTableFieldId="7"/>
    <tableColumn id="8" xr3:uid="{0F9D8431-91E3-452E-AF35-BF2A09C084F4}" uniqueName="8" name="Profit Margin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EF1F4-ABC0-4CEB-BE4A-DD09FCE51CCB}">
  <dimension ref="A1:J32"/>
  <sheetViews>
    <sheetView tabSelected="1" zoomScaleNormal="100" workbookViewId="0">
      <selection activeCell="I5" sqref="I5"/>
    </sheetView>
  </sheetViews>
  <sheetFormatPr defaultRowHeight="14.5" x14ac:dyDescent="0.35"/>
  <cols>
    <col min="1" max="1" width="17.7265625" customWidth="1"/>
    <col min="2" max="2" width="27.36328125" bestFit="1" customWidth="1"/>
    <col min="3" max="3" width="16.81640625" bestFit="1" customWidth="1"/>
    <col min="4" max="4" width="13.36328125" bestFit="1" customWidth="1"/>
    <col min="5" max="5" width="8.81640625" bestFit="1" customWidth="1"/>
    <col min="6" max="6" width="10.54296875" bestFit="1" customWidth="1"/>
    <col min="7" max="7" width="17.7265625" style="4" customWidth="1"/>
    <col min="8" max="8" width="10.54296875" style="4" bestFit="1" customWidth="1"/>
    <col min="9" max="9" width="16.36328125" style="3" bestFit="1" customWidth="1"/>
    <col min="10" max="10" width="14.1796875" style="2" bestFit="1" customWidth="1"/>
    <col min="11" max="11" width="14.1796875" bestFit="1" customWidth="1"/>
  </cols>
  <sheetData>
    <row r="1" spans="1:10" x14ac:dyDescent="0.35">
      <c r="A1" t="s">
        <v>0</v>
      </c>
      <c r="B1" t="s">
        <v>72</v>
      </c>
      <c r="C1" t="s">
        <v>2</v>
      </c>
      <c r="D1" t="s">
        <v>3</v>
      </c>
      <c r="E1" t="s">
        <v>73</v>
      </c>
      <c r="F1" t="s">
        <v>4</v>
      </c>
      <c r="G1" s="4" t="s">
        <v>5</v>
      </c>
      <c r="H1" s="4" t="s">
        <v>6</v>
      </c>
      <c r="I1" s="3" t="s">
        <v>131</v>
      </c>
      <c r="J1"/>
    </row>
    <row r="2" spans="1:10" x14ac:dyDescent="0.35">
      <c r="A2" s="1">
        <v>45076</v>
      </c>
      <c r="B2" t="s">
        <v>74</v>
      </c>
      <c r="C2" t="s">
        <v>75</v>
      </c>
      <c r="D2" t="s">
        <v>76</v>
      </c>
      <c r="E2" t="s">
        <v>77</v>
      </c>
      <c r="F2" t="s">
        <v>11</v>
      </c>
      <c r="G2" s="4">
        <v>4500</v>
      </c>
      <c r="H2" s="4">
        <v>598</v>
      </c>
      <c r="I2" s="3">
        <f>G2/H2</f>
        <v>7.5250836120401337</v>
      </c>
      <c r="J2"/>
    </row>
    <row r="3" spans="1:10" x14ac:dyDescent="0.35">
      <c r="A3" s="1">
        <v>45076</v>
      </c>
      <c r="B3" t="s">
        <v>78</v>
      </c>
      <c r="C3" t="s">
        <v>79</v>
      </c>
      <c r="D3" t="s">
        <v>80</v>
      </c>
      <c r="E3" t="s">
        <v>81</v>
      </c>
      <c r="F3" t="s">
        <v>15</v>
      </c>
      <c r="G3" s="4">
        <v>3800</v>
      </c>
      <c r="H3" s="4">
        <v>1045</v>
      </c>
      <c r="I3" s="3">
        <v>3.6363636363636362</v>
      </c>
      <c r="J3"/>
    </row>
    <row r="4" spans="1:10" x14ac:dyDescent="0.35">
      <c r="A4" s="1">
        <v>45076</v>
      </c>
      <c r="B4" t="s">
        <v>82</v>
      </c>
      <c r="C4" t="s">
        <v>83</v>
      </c>
      <c r="D4" t="s">
        <v>80</v>
      </c>
      <c r="E4" t="s">
        <v>81</v>
      </c>
      <c r="F4">
        <v>0</v>
      </c>
      <c r="G4" s="4">
        <v>3712.5</v>
      </c>
      <c r="H4" s="4">
        <v>1009</v>
      </c>
      <c r="I4" s="3">
        <v>3.6793855302279486</v>
      </c>
      <c r="J4"/>
    </row>
    <row r="5" spans="1:10" x14ac:dyDescent="0.35">
      <c r="A5" s="1">
        <v>45076</v>
      </c>
      <c r="B5" t="s">
        <v>84</v>
      </c>
      <c r="C5" t="s">
        <v>19</v>
      </c>
      <c r="D5" t="s">
        <v>85</v>
      </c>
      <c r="E5" t="s">
        <v>86</v>
      </c>
      <c r="F5">
        <v>0</v>
      </c>
      <c r="G5" s="4">
        <v>0</v>
      </c>
      <c r="H5" s="4">
        <v>779</v>
      </c>
      <c r="I5" s="3">
        <v>0</v>
      </c>
      <c r="J5"/>
    </row>
    <row r="6" spans="1:10" x14ac:dyDescent="0.35">
      <c r="A6" s="1">
        <v>45076</v>
      </c>
      <c r="B6" t="s">
        <v>87</v>
      </c>
      <c r="C6" t="s">
        <v>22</v>
      </c>
      <c r="D6" t="s">
        <v>85</v>
      </c>
      <c r="E6" t="s">
        <v>86</v>
      </c>
      <c r="F6" t="s">
        <v>23</v>
      </c>
      <c r="G6" s="4">
        <v>5000</v>
      </c>
      <c r="H6" s="4">
        <v>684</v>
      </c>
      <c r="I6" s="3">
        <v>7.3099415204678362</v>
      </c>
      <c r="J6" s="5"/>
    </row>
    <row r="7" spans="1:10" x14ac:dyDescent="0.35">
      <c r="A7" s="1">
        <v>45077</v>
      </c>
      <c r="B7" t="s">
        <v>88</v>
      </c>
      <c r="C7" t="s">
        <v>89</v>
      </c>
      <c r="D7" t="s">
        <v>76</v>
      </c>
      <c r="E7" t="s">
        <v>77</v>
      </c>
      <c r="F7" t="s">
        <v>11</v>
      </c>
      <c r="G7" s="4">
        <v>6100</v>
      </c>
      <c r="H7" s="4">
        <v>544</v>
      </c>
      <c r="I7" s="3">
        <v>11.213235294117647</v>
      </c>
      <c r="J7"/>
    </row>
    <row r="8" spans="1:10" x14ac:dyDescent="0.35">
      <c r="A8" s="1">
        <v>45077</v>
      </c>
      <c r="B8" t="s">
        <v>90</v>
      </c>
      <c r="C8" t="s">
        <v>91</v>
      </c>
      <c r="D8" t="s">
        <v>76</v>
      </c>
      <c r="E8" t="s">
        <v>77</v>
      </c>
      <c r="F8" t="s">
        <v>11</v>
      </c>
      <c r="G8" s="4">
        <v>4625</v>
      </c>
      <c r="H8" s="4">
        <v>670</v>
      </c>
      <c r="I8" s="3">
        <v>6.9029850746268657</v>
      </c>
      <c r="J8"/>
    </row>
    <row r="9" spans="1:10" x14ac:dyDescent="0.35">
      <c r="A9" s="1">
        <v>45077</v>
      </c>
      <c r="B9" t="s">
        <v>92</v>
      </c>
      <c r="C9" t="s">
        <v>93</v>
      </c>
      <c r="D9" t="s">
        <v>76</v>
      </c>
      <c r="E9" t="s">
        <v>77</v>
      </c>
      <c r="F9" t="s">
        <v>11</v>
      </c>
      <c r="G9" s="4">
        <v>3800</v>
      </c>
      <c r="H9" s="4">
        <v>2045</v>
      </c>
      <c r="I9" s="3">
        <v>1.8581907090464547</v>
      </c>
      <c r="J9"/>
    </row>
    <row r="10" spans="1:10" x14ac:dyDescent="0.35">
      <c r="A10" s="1">
        <v>45077</v>
      </c>
      <c r="B10" t="s">
        <v>94</v>
      </c>
      <c r="C10" t="s">
        <v>31</v>
      </c>
      <c r="D10" t="s">
        <v>76</v>
      </c>
      <c r="E10" t="s">
        <v>77</v>
      </c>
      <c r="F10" t="s">
        <v>32</v>
      </c>
      <c r="G10" s="4">
        <v>3600</v>
      </c>
      <c r="H10" s="4">
        <v>1564</v>
      </c>
      <c r="I10" s="3">
        <v>2.3017902813299234</v>
      </c>
      <c r="J10"/>
    </row>
    <row r="11" spans="1:10" x14ac:dyDescent="0.35">
      <c r="A11" s="1">
        <v>45077</v>
      </c>
      <c r="B11" t="s">
        <v>95</v>
      </c>
      <c r="C11" t="s">
        <v>34</v>
      </c>
      <c r="D11" t="s">
        <v>76</v>
      </c>
      <c r="E11" t="s">
        <v>77</v>
      </c>
      <c r="F11" t="s">
        <v>23</v>
      </c>
      <c r="G11" s="4">
        <v>5100</v>
      </c>
      <c r="H11" s="4">
        <v>1220</v>
      </c>
      <c r="I11" s="3">
        <v>4.1803278688524594</v>
      </c>
      <c r="J11"/>
    </row>
    <row r="12" spans="1:10" x14ac:dyDescent="0.35">
      <c r="A12" s="1">
        <v>45077</v>
      </c>
      <c r="B12" t="s">
        <v>96</v>
      </c>
      <c r="C12" t="s">
        <v>97</v>
      </c>
      <c r="D12" t="s">
        <v>76</v>
      </c>
      <c r="E12" t="s">
        <v>77</v>
      </c>
      <c r="F12" t="s">
        <v>23</v>
      </c>
      <c r="G12" s="4">
        <v>4750</v>
      </c>
      <c r="H12" s="4">
        <v>1435</v>
      </c>
      <c r="I12" s="3">
        <v>3.3101045296167246</v>
      </c>
      <c r="J12"/>
    </row>
    <row r="13" spans="1:10" x14ac:dyDescent="0.35">
      <c r="A13" s="1">
        <v>45077</v>
      </c>
      <c r="B13" t="s">
        <v>98</v>
      </c>
      <c r="C13" t="s">
        <v>99</v>
      </c>
      <c r="D13" t="s">
        <v>85</v>
      </c>
      <c r="E13" t="s">
        <v>86</v>
      </c>
      <c r="F13" t="s">
        <v>11</v>
      </c>
      <c r="G13" s="4">
        <v>6000</v>
      </c>
      <c r="H13" s="4">
        <v>998</v>
      </c>
      <c r="I13" s="3">
        <v>6.0120240480961922</v>
      </c>
      <c r="J13"/>
    </row>
    <row r="14" spans="1:10" x14ac:dyDescent="0.35">
      <c r="A14" s="1">
        <v>45077</v>
      </c>
      <c r="B14" t="s">
        <v>128</v>
      </c>
      <c r="C14" t="s">
        <v>100</v>
      </c>
      <c r="D14" t="s">
        <v>101</v>
      </c>
      <c r="E14" t="s">
        <v>102</v>
      </c>
      <c r="F14" t="s">
        <v>23</v>
      </c>
      <c r="G14" s="4">
        <v>4500</v>
      </c>
      <c r="H14" s="4">
        <v>780</v>
      </c>
      <c r="I14" s="3">
        <v>5.7692307692307692</v>
      </c>
      <c r="J14"/>
    </row>
    <row r="15" spans="1:10" x14ac:dyDescent="0.35">
      <c r="A15" s="1">
        <v>45078</v>
      </c>
      <c r="B15" t="s">
        <v>103</v>
      </c>
      <c r="C15" t="s">
        <v>43</v>
      </c>
      <c r="D15" t="s">
        <v>101</v>
      </c>
      <c r="E15" t="s">
        <v>102</v>
      </c>
      <c r="F15" t="s">
        <v>32</v>
      </c>
      <c r="G15" s="4">
        <v>0</v>
      </c>
      <c r="H15" s="4">
        <v>1044</v>
      </c>
      <c r="I15" s="3">
        <v>0</v>
      </c>
      <c r="J15"/>
    </row>
    <row r="16" spans="1:10" x14ac:dyDescent="0.35">
      <c r="A16" s="1">
        <v>45078</v>
      </c>
      <c r="B16" t="s">
        <v>104</v>
      </c>
      <c r="C16" t="s">
        <v>105</v>
      </c>
      <c r="D16" t="s">
        <v>101</v>
      </c>
      <c r="E16" t="s">
        <v>102</v>
      </c>
      <c r="F16" t="s">
        <v>11</v>
      </c>
      <c r="G16" s="4">
        <v>3712.5</v>
      </c>
      <c r="H16" s="4">
        <v>1222</v>
      </c>
      <c r="I16" s="3">
        <v>3.0380523731587563</v>
      </c>
      <c r="J16"/>
    </row>
    <row r="17" spans="1:10" x14ac:dyDescent="0.35">
      <c r="A17" s="1">
        <v>45078</v>
      </c>
      <c r="B17" t="s">
        <v>106</v>
      </c>
      <c r="C17" t="s">
        <v>107</v>
      </c>
      <c r="D17" t="s">
        <v>101</v>
      </c>
      <c r="E17" t="s">
        <v>102</v>
      </c>
      <c r="F17" t="s">
        <v>11</v>
      </c>
      <c r="G17" s="4">
        <v>4950</v>
      </c>
      <c r="H17" s="4">
        <v>1065</v>
      </c>
      <c r="I17" s="3">
        <v>4.647887323943662</v>
      </c>
      <c r="J17"/>
    </row>
    <row r="18" spans="1:10" x14ac:dyDescent="0.35">
      <c r="A18" s="1">
        <v>45078</v>
      </c>
      <c r="B18" t="s">
        <v>108</v>
      </c>
      <c r="C18" t="s">
        <v>109</v>
      </c>
      <c r="D18" t="s">
        <v>85</v>
      </c>
      <c r="E18" t="s">
        <v>86</v>
      </c>
      <c r="F18" t="s">
        <v>11</v>
      </c>
      <c r="G18" s="4">
        <v>4750</v>
      </c>
      <c r="H18" s="4">
        <v>810</v>
      </c>
      <c r="I18" s="3">
        <v>5.8641975308641978</v>
      </c>
      <c r="J18"/>
    </row>
    <row r="19" spans="1:10" x14ac:dyDescent="0.35">
      <c r="A19" s="1">
        <v>45078</v>
      </c>
      <c r="B19" t="s">
        <v>110</v>
      </c>
      <c r="C19" t="s">
        <v>51</v>
      </c>
      <c r="D19" t="s">
        <v>85</v>
      </c>
      <c r="E19" t="s">
        <v>86</v>
      </c>
      <c r="F19" t="s">
        <v>11</v>
      </c>
      <c r="G19" s="4">
        <v>7320</v>
      </c>
      <c r="H19" s="4">
        <v>933</v>
      </c>
      <c r="I19" s="3">
        <v>7.845659163987138</v>
      </c>
      <c r="J19"/>
    </row>
    <row r="20" spans="1:10" x14ac:dyDescent="0.35">
      <c r="A20" s="1">
        <v>45077</v>
      </c>
      <c r="B20" t="s">
        <v>98</v>
      </c>
      <c r="C20" t="s">
        <v>99</v>
      </c>
      <c r="D20" t="s">
        <v>85</v>
      </c>
      <c r="E20" t="s">
        <v>86</v>
      </c>
      <c r="F20" t="s">
        <v>11</v>
      </c>
      <c r="G20" s="4">
        <v>6000</v>
      </c>
      <c r="H20" s="4">
        <v>998</v>
      </c>
      <c r="I20" s="3">
        <v>6.0120240480961922</v>
      </c>
      <c r="J20"/>
    </row>
    <row r="21" spans="1:10" x14ac:dyDescent="0.35">
      <c r="A21" s="1">
        <v>45077</v>
      </c>
      <c r="B21" t="s">
        <v>128</v>
      </c>
      <c r="C21" t="s">
        <v>100</v>
      </c>
      <c r="D21" t="s">
        <v>101</v>
      </c>
      <c r="E21" t="s">
        <v>102</v>
      </c>
      <c r="F21" t="s">
        <v>23</v>
      </c>
      <c r="G21" s="4">
        <v>4500</v>
      </c>
      <c r="H21" s="4">
        <v>780</v>
      </c>
      <c r="I21" s="3">
        <v>5.7692307692307692</v>
      </c>
      <c r="J21"/>
    </row>
    <row r="22" spans="1:10" x14ac:dyDescent="0.35">
      <c r="A22" s="1">
        <v>45078</v>
      </c>
      <c r="B22" t="s">
        <v>111</v>
      </c>
      <c r="C22" t="s">
        <v>112</v>
      </c>
      <c r="D22" t="s">
        <v>101</v>
      </c>
      <c r="E22" t="s">
        <v>102</v>
      </c>
      <c r="F22" t="s">
        <v>11</v>
      </c>
      <c r="G22" s="4">
        <v>5087.5</v>
      </c>
      <c r="H22" s="4">
        <v>655</v>
      </c>
      <c r="I22" s="3">
        <v>7.7671755725190836</v>
      </c>
      <c r="J22"/>
    </row>
    <row r="23" spans="1:10" x14ac:dyDescent="0.35">
      <c r="A23" s="1">
        <v>45078</v>
      </c>
      <c r="B23" t="s">
        <v>113</v>
      </c>
      <c r="C23" t="s">
        <v>129</v>
      </c>
      <c r="D23" t="s">
        <v>101</v>
      </c>
      <c r="E23" t="s">
        <v>102</v>
      </c>
      <c r="F23" t="s">
        <v>11</v>
      </c>
      <c r="G23" s="4">
        <v>4500</v>
      </c>
      <c r="H23" s="4">
        <v>722</v>
      </c>
      <c r="I23" s="3">
        <v>6.2326869806094187</v>
      </c>
      <c r="J23"/>
    </row>
    <row r="24" spans="1:10" x14ac:dyDescent="0.35">
      <c r="A24" s="1">
        <v>45078</v>
      </c>
      <c r="B24" t="s">
        <v>114</v>
      </c>
      <c r="C24" t="s">
        <v>115</v>
      </c>
      <c r="D24" t="s">
        <v>101</v>
      </c>
      <c r="E24" t="s">
        <v>102</v>
      </c>
      <c r="F24" t="s">
        <v>32</v>
      </c>
      <c r="G24" s="4">
        <v>4250</v>
      </c>
      <c r="H24" s="4">
        <v>901</v>
      </c>
      <c r="I24" s="3">
        <v>4.716981132075472</v>
      </c>
      <c r="J24"/>
    </row>
    <row r="25" spans="1:10" x14ac:dyDescent="0.35">
      <c r="A25" s="1">
        <v>45079</v>
      </c>
      <c r="B25" t="s">
        <v>116</v>
      </c>
      <c r="C25" t="s">
        <v>117</v>
      </c>
      <c r="D25" t="s">
        <v>101</v>
      </c>
      <c r="E25" t="s">
        <v>102</v>
      </c>
      <c r="F25" t="s">
        <v>15</v>
      </c>
      <c r="G25" s="4">
        <v>5250</v>
      </c>
      <c r="H25" s="4">
        <v>1349</v>
      </c>
      <c r="I25" s="3">
        <v>3.8917716827279465</v>
      </c>
      <c r="J25"/>
    </row>
    <row r="26" spans="1:10" x14ac:dyDescent="0.35">
      <c r="A26" s="1">
        <v>45079</v>
      </c>
      <c r="B26" t="s">
        <v>118</v>
      </c>
      <c r="C26" t="s">
        <v>61</v>
      </c>
      <c r="D26" t="s">
        <v>80</v>
      </c>
      <c r="E26" t="s">
        <v>81</v>
      </c>
      <c r="F26" t="s">
        <v>15</v>
      </c>
      <c r="G26" s="4">
        <v>6500</v>
      </c>
      <c r="H26" s="4">
        <v>1288</v>
      </c>
      <c r="I26" s="3">
        <v>5.0465838509316772</v>
      </c>
      <c r="J26"/>
    </row>
    <row r="27" spans="1:10" x14ac:dyDescent="0.35">
      <c r="A27" s="1">
        <v>45079</v>
      </c>
      <c r="B27" t="s">
        <v>119</v>
      </c>
      <c r="C27" t="s">
        <v>120</v>
      </c>
      <c r="D27" t="s">
        <v>80</v>
      </c>
      <c r="E27" t="s">
        <v>81</v>
      </c>
      <c r="F27" t="s">
        <v>15</v>
      </c>
      <c r="G27" s="4">
        <v>7500</v>
      </c>
      <c r="H27" s="4">
        <v>1664</v>
      </c>
      <c r="I27" s="3">
        <v>4.5072115384615383</v>
      </c>
      <c r="J27"/>
    </row>
    <row r="28" spans="1:10" x14ac:dyDescent="0.35">
      <c r="A28" s="1">
        <v>45079</v>
      </c>
      <c r="B28" t="s">
        <v>121</v>
      </c>
      <c r="C28" t="s">
        <v>122</v>
      </c>
      <c r="D28" t="s">
        <v>80</v>
      </c>
      <c r="E28" t="s">
        <v>81</v>
      </c>
      <c r="F28" t="s">
        <v>11</v>
      </c>
      <c r="G28" s="4">
        <v>5500</v>
      </c>
      <c r="H28" s="4">
        <v>1320</v>
      </c>
      <c r="I28" s="3">
        <v>4.166666666666667</v>
      </c>
      <c r="J28"/>
    </row>
    <row r="29" spans="1:10" x14ac:dyDescent="0.35">
      <c r="A29" s="1">
        <v>45079</v>
      </c>
      <c r="B29" t="s">
        <v>123</v>
      </c>
      <c r="C29" t="s">
        <v>124</v>
      </c>
      <c r="D29" t="s">
        <v>80</v>
      </c>
      <c r="E29" t="s">
        <v>81</v>
      </c>
      <c r="F29" t="s">
        <v>11</v>
      </c>
      <c r="G29" s="4">
        <v>4625</v>
      </c>
      <c r="H29" s="4">
        <v>1001</v>
      </c>
      <c r="I29" s="3">
        <v>4.6203796203796204</v>
      </c>
      <c r="J29"/>
    </row>
    <row r="30" spans="1:10" x14ac:dyDescent="0.35">
      <c r="A30" s="1">
        <v>45079</v>
      </c>
      <c r="B30" t="s">
        <v>125</v>
      </c>
      <c r="C30" t="s">
        <v>126</v>
      </c>
      <c r="D30" t="s">
        <v>80</v>
      </c>
      <c r="E30" t="s">
        <v>81</v>
      </c>
      <c r="F30" t="s">
        <v>11</v>
      </c>
      <c r="G30" s="4">
        <v>4500</v>
      </c>
      <c r="H30" s="4">
        <v>960</v>
      </c>
      <c r="I30" s="3">
        <v>4.6875</v>
      </c>
      <c r="J30"/>
    </row>
    <row r="31" spans="1:10" x14ac:dyDescent="0.35">
      <c r="A31" s="1">
        <v>45079</v>
      </c>
      <c r="B31" t="s">
        <v>127</v>
      </c>
      <c r="C31" t="s">
        <v>130</v>
      </c>
      <c r="D31" t="s">
        <v>80</v>
      </c>
      <c r="E31" t="s">
        <v>81</v>
      </c>
      <c r="F31" t="s">
        <v>32</v>
      </c>
      <c r="G31" s="4">
        <v>5400</v>
      </c>
      <c r="H31" s="4">
        <v>540</v>
      </c>
      <c r="I31" s="3">
        <v>10</v>
      </c>
      <c r="J31"/>
    </row>
    <row r="32" spans="1:10" x14ac:dyDescent="0.35">
      <c r="A32" s="1">
        <v>45076</v>
      </c>
      <c r="B32" t="s">
        <v>87</v>
      </c>
      <c r="C32" t="s">
        <v>22</v>
      </c>
      <c r="D32" t="s">
        <v>85</v>
      </c>
      <c r="E32" t="s">
        <v>86</v>
      </c>
      <c r="F32" t="s">
        <v>23</v>
      </c>
      <c r="G32" s="4">
        <v>5000</v>
      </c>
      <c r="H32" s="4">
        <v>684</v>
      </c>
      <c r="I32" s="3">
        <v>7.3099415204678362</v>
      </c>
      <c r="J32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586C-310A-42AB-87A4-3368ACCDC5F1}">
  <dimension ref="A1:H41"/>
  <sheetViews>
    <sheetView workbookViewId="0">
      <selection activeCell="B16" sqref="B16"/>
    </sheetView>
  </sheetViews>
  <sheetFormatPr defaultRowHeight="14.5" x14ac:dyDescent="0.35"/>
  <cols>
    <col min="1" max="1" width="10.08984375" bestFit="1" customWidth="1"/>
    <col min="2" max="2" width="42.81640625" bestFit="1" customWidth="1"/>
    <col min="3" max="3" width="16.81640625" bestFit="1" customWidth="1"/>
    <col min="4" max="4" width="17" bestFit="1" customWidth="1"/>
    <col min="5" max="5" width="10.54296875" bestFit="1" customWidth="1"/>
    <col min="6" max="6" width="10.26953125" bestFit="1" customWidth="1"/>
    <col min="7" max="7" width="7.81640625" bestFit="1" customWidth="1"/>
    <col min="8" max="8" width="14.17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5">
      <c r="A2" s="1">
        <v>45076</v>
      </c>
      <c r="B2" t="s">
        <v>8</v>
      </c>
      <c r="C2" t="s">
        <v>9</v>
      </c>
      <c r="D2" t="s">
        <v>10</v>
      </c>
      <c r="E2" t="s">
        <v>11</v>
      </c>
      <c r="F2">
        <v>4500</v>
      </c>
      <c r="G2">
        <v>598</v>
      </c>
      <c r="H2">
        <v>0.13288888888888889</v>
      </c>
    </row>
    <row r="3" spans="1:8" x14ac:dyDescent="0.35">
      <c r="A3" s="1">
        <v>45076</v>
      </c>
      <c r="B3" t="s">
        <v>12</v>
      </c>
      <c r="C3" t="s">
        <v>13</v>
      </c>
      <c r="D3" t="s">
        <v>14</v>
      </c>
      <c r="E3" t="s">
        <v>15</v>
      </c>
      <c r="F3">
        <v>3800</v>
      </c>
      <c r="G3">
        <v>1045</v>
      </c>
      <c r="H3">
        <v>0.27500000000000002</v>
      </c>
    </row>
    <row r="4" spans="1:8" x14ac:dyDescent="0.35">
      <c r="A4" s="1">
        <v>45076</v>
      </c>
      <c r="B4" t="s">
        <v>16</v>
      </c>
      <c r="C4" t="s">
        <v>17</v>
      </c>
      <c r="D4" t="s">
        <v>14</v>
      </c>
      <c r="F4">
        <v>3712.5</v>
      </c>
      <c r="G4">
        <v>1009</v>
      </c>
      <c r="H4">
        <v>0.2717845117845118</v>
      </c>
    </row>
    <row r="5" spans="1:8" x14ac:dyDescent="0.35">
      <c r="A5" s="1">
        <v>45076</v>
      </c>
      <c r="B5" t="s">
        <v>18</v>
      </c>
      <c r="C5" t="s">
        <v>19</v>
      </c>
      <c r="D5" t="s">
        <v>20</v>
      </c>
      <c r="G5">
        <v>779</v>
      </c>
    </row>
    <row r="6" spans="1:8" x14ac:dyDescent="0.35">
      <c r="A6" s="1">
        <v>45076</v>
      </c>
      <c r="B6" t="s">
        <v>21</v>
      </c>
      <c r="C6" t="s">
        <v>22</v>
      </c>
      <c r="D6" t="s">
        <v>20</v>
      </c>
      <c r="E6" t="s">
        <v>23</v>
      </c>
      <c r="F6">
        <v>5000</v>
      </c>
      <c r="G6">
        <v>684</v>
      </c>
      <c r="H6">
        <v>0.1368</v>
      </c>
    </row>
    <row r="7" spans="1:8" x14ac:dyDescent="0.35">
      <c r="A7" s="1">
        <v>45077</v>
      </c>
      <c r="B7" t="s">
        <v>24</v>
      </c>
      <c r="C7" t="s">
        <v>25</v>
      </c>
      <c r="D7" t="s">
        <v>10</v>
      </c>
      <c r="E7" t="s">
        <v>11</v>
      </c>
      <c r="F7">
        <v>6100</v>
      </c>
      <c r="G7">
        <v>544</v>
      </c>
      <c r="H7">
        <v>8.9180327868852466E-2</v>
      </c>
    </row>
    <row r="8" spans="1:8" x14ac:dyDescent="0.35">
      <c r="A8" s="1">
        <v>45077</v>
      </c>
      <c r="B8" t="s">
        <v>26</v>
      </c>
      <c r="C8" t="s">
        <v>27</v>
      </c>
      <c r="D8" t="s">
        <v>10</v>
      </c>
      <c r="E8" t="s">
        <v>11</v>
      </c>
      <c r="F8">
        <v>4625</v>
      </c>
      <c r="G8">
        <v>670</v>
      </c>
      <c r="H8">
        <v>0.14486486486486486</v>
      </c>
    </row>
    <row r="9" spans="1:8" x14ac:dyDescent="0.35">
      <c r="A9" s="1">
        <v>45077</v>
      </c>
      <c r="B9" t="s">
        <v>28</v>
      </c>
      <c r="C9" t="s">
        <v>29</v>
      </c>
      <c r="D9" t="s">
        <v>10</v>
      </c>
      <c r="E9" t="s">
        <v>11</v>
      </c>
      <c r="F9">
        <v>3800</v>
      </c>
      <c r="G9">
        <v>2045</v>
      </c>
      <c r="H9">
        <v>0.53815789473684206</v>
      </c>
    </row>
    <row r="10" spans="1:8" x14ac:dyDescent="0.35">
      <c r="A10" s="1">
        <v>45077</v>
      </c>
      <c r="B10" t="s">
        <v>30</v>
      </c>
      <c r="C10" t="s">
        <v>31</v>
      </c>
      <c r="D10" t="s">
        <v>10</v>
      </c>
      <c r="E10" t="s">
        <v>32</v>
      </c>
      <c r="F10">
        <v>3600</v>
      </c>
      <c r="G10">
        <v>1564</v>
      </c>
      <c r="H10">
        <v>0.43444444444444447</v>
      </c>
    </row>
    <row r="11" spans="1:8" x14ac:dyDescent="0.35">
      <c r="A11" s="1">
        <v>45077</v>
      </c>
      <c r="B11" t="s">
        <v>33</v>
      </c>
      <c r="C11" t="s">
        <v>34</v>
      </c>
      <c r="D11" t="s">
        <v>10</v>
      </c>
      <c r="E11" t="s">
        <v>23</v>
      </c>
      <c r="F11">
        <v>5100</v>
      </c>
      <c r="G11">
        <v>1220</v>
      </c>
      <c r="H11">
        <v>0.23921568627450979</v>
      </c>
    </row>
    <row r="12" spans="1:8" x14ac:dyDescent="0.35">
      <c r="A12" s="1">
        <v>45077</v>
      </c>
      <c r="B12" t="s">
        <v>35</v>
      </c>
      <c r="C12" t="s">
        <v>36</v>
      </c>
      <c r="D12" t="s">
        <v>10</v>
      </c>
      <c r="E12" t="s">
        <v>23</v>
      </c>
      <c r="F12">
        <v>4750</v>
      </c>
      <c r="G12">
        <v>1435</v>
      </c>
      <c r="H12">
        <v>0.30210526315789471</v>
      </c>
    </row>
    <row r="13" spans="1:8" x14ac:dyDescent="0.35">
      <c r="A13" s="1">
        <v>45077</v>
      </c>
      <c r="B13" t="s">
        <v>37</v>
      </c>
      <c r="C13" t="s">
        <v>38</v>
      </c>
      <c r="D13" t="s">
        <v>20</v>
      </c>
      <c r="E13" t="s">
        <v>11</v>
      </c>
      <c r="F13">
        <v>6000</v>
      </c>
      <c r="G13">
        <v>998</v>
      </c>
      <c r="H13">
        <v>0.16633333333333333</v>
      </c>
    </row>
    <row r="14" spans="1:8" x14ac:dyDescent="0.35">
      <c r="A14" s="1">
        <v>45077</v>
      </c>
      <c r="B14" t="s">
        <v>39</v>
      </c>
      <c r="C14" t="s">
        <v>40</v>
      </c>
      <c r="D14" t="s">
        <v>41</v>
      </c>
      <c r="E14" t="s">
        <v>23</v>
      </c>
      <c r="F14">
        <v>4500</v>
      </c>
      <c r="G14">
        <v>780</v>
      </c>
      <c r="H14">
        <v>0.17333333333333334</v>
      </c>
    </row>
    <row r="15" spans="1:8" x14ac:dyDescent="0.35">
      <c r="A15" s="1">
        <v>45078</v>
      </c>
      <c r="B15" t="s">
        <v>42</v>
      </c>
      <c r="C15" t="s">
        <v>43</v>
      </c>
      <c r="D15" t="s">
        <v>41</v>
      </c>
      <c r="E15" t="s">
        <v>32</v>
      </c>
      <c r="G15">
        <v>1044</v>
      </c>
    </row>
    <row r="16" spans="1:8" x14ac:dyDescent="0.35">
      <c r="A16" s="1">
        <v>45078</v>
      </c>
      <c r="B16" t="s">
        <v>44</v>
      </c>
      <c r="C16" t="s">
        <v>45</v>
      </c>
      <c r="D16" t="s">
        <v>41</v>
      </c>
      <c r="E16" t="s">
        <v>11</v>
      </c>
      <c r="F16">
        <v>3712.5</v>
      </c>
      <c r="G16">
        <v>1222</v>
      </c>
      <c r="H16">
        <v>0.32915824915824915</v>
      </c>
    </row>
    <row r="17" spans="1:8" x14ac:dyDescent="0.35">
      <c r="A17" s="1">
        <v>45078</v>
      </c>
      <c r="B17" t="s">
        <v>46</v>
      </c>
      <c r="C17" t="s">
        <v>47</v>
      </c>
      <c r="D17" t="s">
        <v>41</v>
      </c>
      <c r="E17" t="s">
        <v>11</v>
      </c>
      <c r="F17">
        <v>4950</v>
      </c>
      <c r="G17">
        <v>1065</v>
      </c>
      <c r="H17">
        <v>0.21515151515151515</v>
      </c>
    </row>
    <row r="18" spans="1:8" x14ac:dyDescent="0.35">
      <c r="A18" s="1">
        <v>45078</v>
      </c>
      <c r="B18" t="s">
        <v>48</v>
      </c>
      <c r="C18" t="s">
        <v>49</v>
      </c>
      <c r="D18" t="s">
        <v>20</v>
      </c>
      <c r="E18" t="s">
        <v>11</v>
      </c>
      <c r="F18">
        <v>4750</v>
      </c>
      <c r="G18">
        <v>810</v>
      </c>
      <c r="H18">
        <v>0.17052631578947369</v>
      </c>
    </row>
    <row r="19" spans="1:8" x14ac:dyDescent="0.35">
      <c r="A19" s="1">
        <v>45078</v>
      </c>
      <c r="B19" t="s">
        <v>50</v>
      </c>
      <c r="C19" t="s">
        <v>51</v>
      </c>
      <c r="D19" t="s">
        <v>20</v>
      </c>
      <c r="E19" t="s">
        <v>11</v>
      </c>
      <c r="F19">
        <v>7320</v>
      </c>
      <c r="G19">
        <v>933</v>
      </c>
      <c r="H19">
        <v>0.12745901639344262</v>
      </c>
    </row>
    <row r="20" spans="1:8" x14ac:dyDescent="0.35">
      <c r="A20" s="1">
        <v>45077</v>
      </c>
      <c r="B20" t="s">
        <v>37</v>
      </c>
      <c r="C20" t="s">
        <v>38</v>
      </c>
      <c r="D20" t="s">
        <v>20</v>
      </c>
      <c r="E20" t="s">
        <v>11</v>
      </c>
      <c r="F20">
        <v>6000</v>
      </c>
      <c r="G20">
        <v>998</v>
      </c>
      <c r="H20">
        <v>0.16633333333333333</v>
      </c>
    </row>
    <row r="21" spans="1:8" x14ac:dyDescent="0.35">
      <c r="A21" s="1">
        <v>45077</v>
      </c>
      <c r="B21" t="s">
        <v>39</v>
      </c>
      <c r="C21" t="s">
        <v>40</v>
      </c>
      <c r="D21" t="s">
        <v>41</v>
      </c>
      <c r="E21" t="s">
        <v>23</v>
      </c>
      <c r="F21">
        <v>4500</v>
      </c>
      <c r="G21">
        <v>780</v>
      </c>
      <c r="H21">
        <v>0.17333333333333334</v>
      </c>
    </row>
    <row r="22" spans="1:8" x14ac:dyDescent="0.35">
      <c r="A22" s="1">
        <v>45078</v>
      </c>
      <c r="B22" t="s">
        <v>52</v>
      </c>
      <c r="C22" t="s">
        <v>53</v>
      </c>
      <c r="D22" t="s">
        <v>41</v>
      </c>
      <c r="E22" t="s">
        <v>11</v>
      </c>
      <c r="F22">
        <v>5087.5</v>
      </c>
      <c r="G22">
        <v>655</v>
      </c>
      <c r="H22">
        <v>0.12874692874692875</v>
      </c>
    </row>
    <row r="23" spans="1:8" x14ac:dyDescent="0.35">
      <c r="A23" s="1">
        <v>45078</v>
      </c>
      <c r="B23" t="s">
        <v>54</v>
      </c>
      <c r="C23" t="s">
        <v>55</v>
      </c>
      <c r="D23" t="s">
        <v>41</v>
      </c>
      <c r="E23" t="s">
        <v>11</v>
      </c>
      <c r="F23">
        <v>4500</v>
      </c>
      <c r="G23">
        <v>722</v>
      </c>
      <c r="H23">
        <v>0.16044444444444445</v>
      </c>
    </row>
    <row r="24" spans="1:8" x14ac:dyDescent="0.35">
      <c r="A24" s="1">
        <v>45078</v>
      </c>
      <c r="B24" t="s">
        <v>56</v>
      </c>
      <c r="C24" t="s">
        <v>57</v>
      </c>
      <c r="D24" t="s">
        <v>41</v>
      </c>
      <c r="E24" t="s">
        <v>32</v>
      </c>
      <c r="F24">
        <v>4250</v>
      </c>
      <c r="G24">
        <v>901</v>
      </c>
      <c r="H24">
        <v>0.21199999999999999</v>
      </c>
    </row>
    <row r="25" spans="1:8" x14ac:dyDescent="0.35">
      <c r="A25" s="1">
        <v>45079</v>
      </c>
      <c r="B25" t="s">
        <v>58</v>
      </c>
      <c r="C25" t="s">
        <v>59</v>
      </c>
      <c r="D25" t="s">
        <v>41</v>
      </c>
      <c r="E25" t="s">
        <v>15</v>
      </c>
      <c r="F25">
        <v>5250</v>
      </c>
      <c r="G25">
        <v>1349</v>
      </c>
      <c r="H25">
        <v>0.25695238095238093</v>
      </c>
    </row>
    <row r="26" spans="1:8" x14ac:dyDescent="0.35">
      <c r="A26" s="1">
        <v>45079</v>
      </c>
      <c r="B26" t="s">
        <v>60</v>
      </c>
      <c r="C26" t="s">
        <v>61</v>
      </c>
      <c r="D26" t="s">
        <v>14</v>
      </c>
      <c r="E26" t="s">
        <v>15</v>
      </c>
      <c r="F26">
        <v>6500</v>
      </c>
      <c r="G26">
        <v>1288</v>
      </c>
      <c r="H26">
        <v>0.19815384615384615</v>
      </c>
    </row>
    <row r="27" spans="1:8" x14ac:dyDescent="0.35">
      <c r="A27" s="1">
        <v>45079</v>
      </c>
      <c r="B27" t="s">
        <v>62</v>
      </c>
      <c r="C27" t="s">
        <v>63</v>
      </c>
      <c r="D27" t="s">
        <v>14</v>
      </c>
      <c r="E27" t="s">
        <v>15</v>
      </c>
      <c r="F27">
        <v>7500</v>
      </c>
      <c r="G27">
        <v>1664</v>
      </c>
      <c r="H27">
        <v>0.22186666666666663</v>
      </c>
    </row>
    <row r="28" spans="1:8" x14ac:dyDescent="0.35">
      <c r="A28" s="1">
        <v>45079</v>
      </c>
      <c r="B28" t="s">
        <v>64</v>
      </c>
      <c r="C28" t="s">
        <v>65</v>
      </c>
      <c r="D28" t="s">
        <v>14</v>
      </c>
      <c r="E28" t="s">
        <v>11</v>
      </c>
      <c r="F28">
        <v>5500</v>
      </c>
      <c r="G28">
        <v>1320</v>
      </c>
      <c r="H28">
        <v>0.24</v>
      </c>
    </row>
    <row r="29" spans="1:8" x14ac:dyDescent="0.35">
      <c r="A29" s="1">
        <v>45079</v>
      </c>
      <c r="B29" t="s">
        <v>66</v>
      </c>
      <c r="C29" t="s">
        <v>67</v>
      </c>
      <c r="D29" t="s">
        <v>14</v>
      </c>
      <c r="E29" t="s">
        <v>11</v>
      </c>
      <c r="F29">
        <v>4625</v>
      </c>
      <c r="G29">
        <v>1001</v>
      </c>
      <c r="H29">
        <v>0.21643243243243243</v>
      </c>
    </row>
    <row r="30" spans="1:8" x14ac:dyDescent="0.35">
      <c r="A30" s="1">
        <v>45079</v>
      </c>
      <c r="B30" t="s">
        <v>68</v>
      </c>
      <c r="C30" t="s">
        <v>69</v>
      </c>
      <c r="D30" t="s">
        <v>14</v>
      </c>
      <c r="E30" t="s">
        <v>11</v>
      </c>
      <c r="F30">
        <v>4500</v>
      </c>
      <c r="G30">
        <v>960</v>
      </c>
      <c r="H30">
        <v>0.21333333333333335</v>
      </c>
    </row>
    <row r="31" spans="1:8" x14ac:dyDescent="0.35">
      <c r="A31" s="1">
        <v>45079</v>
      </c>
      <c r="B31" t="s">
        <v>70</v>
      </c>
      <c r="C31" t="s">
        <v>71</v>
      </c>
      <c r="D31" t="s">
        <v>14</v>
      </c>
      <c r="E31" t="s">
        <v>32</v>
      </c>
      <c r="F31">
        <v>5400</v>
      </c>
      <c r="G31">
        <v>540</v>
      </c>
      <c r="H31">
        <v>0.1</v>
      </c>
    </row>
    <row r="32" spans="1:8" x14ac:dyDescent="0.35">
      <c r="A32" s="1">
        <v>45076</v>
      </c>
      <c r="B32" t="s">
        <v>21</v>
      </c>
      <c r="C32" t="s">
        <v>22</v>
      </c>
      <c r="D32" t="s">
        <v>20</v>
      </c>
      <c r="E32" t="s">
        <v>23</v>
      </c>
      <c r="F32">
        <v>5000</v>
      </c>
      <c r="G32">
        <v>684</v>
      </c>
      <c r="H32">
        <v>0.1368</v>
      </c>
    </row>
    <row r="33" spans="1:1" x14ac:dyDescent="0.35">
      <c r="A33" s="1"/>
    </row>
    <row r="34" spans="1:1" x14ac:dyDescent="0.35">
      <c r="A34" s="1"/>
    </row>
    <row r="35" spans="1:1" x14ac:dyDescent="0.35">
      <c r="A35" s="1"/>
    </row>
    <row r="36" spans="1:1" x14ac:dyDescent="0.35">
      <c r="A36" s="1"/>
    </row>
    <row r="37" spans="1:1" x14ac:dyDescent="0.35">
      <c r="A37" s="1"/>
    </row>
    <row r="38" spans="1:1" x14ac:dyDescent="0.35">
      <c r="A38" s="1"/>
    </row>
    <row r="39" spans="1:1" x14ac:dyDescent="0.35">
      <c r="A39" s="1"/>
    </row>
    <row r="40" spans="1:1" x14ac:dyDescent="0.35">
      <c r="A40" s="1"/>
    </row>
    <row r="41" spans="1:1" x14ac:dyDescent="0.35">
      <c r="A41" s="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8ACF7-E7EF-4D81-903E-097DADE6078B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3E54385-ABE4-4C58-A689-E72C32D488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cleaned_dataset</vt:lpstr>
      <vt:lpstr>uncleaned_dataset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logeshds247@outlook.com</dc:creator>
  <cp:lastModifiedBy>logeshds247@outlook.com</cp:lastModifiedBy>
  <dcterms:created xsi:type="dcterms:W3CDTF">2026-05-02T06:51:13Z</dcterms:created>
  <dcterms:modified xsi:type="dcterms:W3CDTF">2026-05-15T13:10:57Z</dcterms:modified>
</cp:coreProperties>
</file>